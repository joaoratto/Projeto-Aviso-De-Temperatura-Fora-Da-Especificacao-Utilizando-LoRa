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beontagbr-my.sharepoint.com/personal/joao_martins_beontag_com/Documents/Área de Trabalho/Projeto Aviso Baixa Tensão Utilizando LoRa/"/>
    </mc:Choice>
  </mc:AlternateContent>
  <xr:revisionPtr revIDLastSave="238" documentId="11_AD4D361C20488DEA4E38A04254587B545ADEDD90" xr6:coauthVersionLast="47" xr6:coauthVersionMax="47" xr10:uidLastSave="{326FBB01-64F9-4BFE-9797-AC641C61FAD8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  <c r="H20" i="1"/>
  <c r="H21" i="1"/>
  <c r="H22" i="1"/>
  <c r="H2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</calcChain>
</file>

<file path=xl/sharedStrings.xml><?xml version="1.0" encoding="utf-8"?>
<sst xmlns="http://schemas.openxmlformats.org/spreadsheetml/2006/main" count="74" uniqueCount="61">
  <si>
    <t>E32-433T20D</t>
  </si>
  <si>
    <t>Itens</t>
  </si>
  <si>
    <t>Quantidade</t>
  </si>
  <si>
    <t>Descrição</t>
  </si>
  <si>
    <t>Link Compra</t>
  </si>
  <si>
    <t>Link Referência</t>
  </si>
  <si>
    <t>https://www.cdebyte.com/products/E32-433T20D</t>
  </si>
  <si>
    <t>Módulo LoRa</t>
  </si>
  <si>
    <t>https://www.mercadolivre.com.br/antena-433mhz-sma-6dbi-19cm/p/MLB59388014</t>
  </si>
  <si>
    <t>Antena 433mhz Sma 6dbi</t>
  </si>
  <si>
    <t>Antena para modulo LoRa</t>
  </si>
  <si>
    <t>Tomada Steck Fêmea (parede)</t>
  </si>
  <si>
    <t>Tomada Steck Fêmea (painel)</t>
  </si>
  <si>
    <t>Tomada Steck Macho</t>
  </si>
  <si>
    <t>https://www.mercadolivre.com.br/modulo-rf-wireless-lora-433mhz-longo-alcance-433t20d-3km/up/MLBU777063589</t>
  </si>
  <si>
    <t>Buzzer</t>
  </si>
  <si>
    <t>Sensor de tensão</t>
  </si>
  <si>
    <t>Placa fenolite (verificar o tamanho das placas)</t>
  </si>
  <si>
    <t>https://www.jheletronico.com.br/pack-de-baterias-18650-li-ion-37v-104a-4-celulas-c-rabicho-2-fios</t>
  </si>
  <si>
    <t>Bateria do leitor de tensão</t>
  </si>
  <si>
    <t>Bateria 3.7V 10A</t>
  </si>
  <si>
    <t>https://www.jheletronico.com.br/bateria-li-po-37v-21a-77wh-gsp7538868x</t>
  </si>
  <si>
    <t>Bateria 3.7v 2100mah Litio</t>
  </si>
  <si>
    <t>Bateria do receptor</t>
  </si>
  <si>
    <t>Kit 10 Módulo Tp4056 Carregador De Bateria Usb Tipo C 5v 1a</t>
  </si>
  <si>
    <t>Carregador de bateria</t>
  </si>
  <si>
    <t>https://www.mercadolivre.com.br/kit-10-modulo-tp4056-carregador-de-bateria-usb-tipo-c-5v-1a/up/MLBU1741803625?pdp_filters=item_id:MLB3855613725#is_advertising=true&amp;searchVariation=MLBU1741803625&amp;backend_model=search-backend&amp;be_origin=backend&amp;position=8&amp;search_layout=grid&amp;type=pad&amp;tracking_id=90195325-382c-4867-9fed-c40bdb5dd9ef&amp;ad_domain=VQCATCORE_LST&amp;ad_position=8&amp;ad_click_id=ZjEzODkzMzQtZWZmOS00NWFkLWFiYjYtY2M2NTYyZjA4Y2Qz</t>
  </si>
  <si>
    <t>Módulo Sensor De Tensão 0 a 250V AC - ZMPT101B</t>
  </si>
  <si>
    <t>https://www.proesi.com.br/modulo-sensor-de-tens-o-ac-0-a-250vac-zmpt101b</t>
  </si>
  <si>
    <t>https://www.proesi.com.br/buzzer-5v-bip-continuo-pci-12mm-oscilador-interno</t>
  </si>
  <si>
    <t>Buzzer 5V Bip Contínuo - PCI 12mm</t>
  </si>
  <si>
    <t>https://www.usinainfo.com.br/esp32/esp32-c6-devkitc-1-com-wifi-e-bluetooth-com-usb-c-e-ch343-8754.html?srsltid=AfmBOoord-bBZgxPfm-Fyl79VrfjANzStb_n_UDtIV0jQ83-WQa-zW4T</t>
  </si>
  <si>
    <t>Módulo ESP32</t>
  </si>
  <si>
    <t>https://www.fontesmeanwell.com.br/fonte-chaveada-15w-85-264vca-120-370vcc-saida-5vcc-3a-rs-15-5-mean-well</t>
  </si>
  <si>
    <t>Fonte 5V 3A</t>
  </si>
  <si>
    <t>Fonte de alimentação</t>
  </si>
  <si>
    <t>Compra solicitada?</t>
  </si>
  <si>
    <t>https://www.mercadolivre.com.br/kit-200-capacitor-eletrolitico-15-valores--veja-lista/up/MLBU1090357319?pdp_filters=item_id%3AMLB1338609186&amp;from=gshop&amp;matt_tool=19390443&amp;matt_word=&amp;matt_source=google&amp;matt_campaign_id=22090354205&amp;matt_ad_group_id=191786774561&amp;matt_match_type=&amp;matt_network=g&amp;matt_device=c&amp;matt_creative=782869962440&amp;matt_keyword=&amp;matt_ad_position=&amp;matt_ad_type=pla&amp;matt_merchant_id=139590642&amp;matt_product_id=MLBU1090357319&amp;matt_product_partition_id=2495493043919&amp;matt_target_id=aud-2495374164685:pla-2495493043919&amp;cq_src=google_ads&amp;cq_cmp=22090354205&amp;cq_net=g&amp;cq_plt=gp&amp;cq_med=pla&amp;gad_source=1&amp;gad_campaignid=22090354205&amp;gclid=CjwKCAjwy5rUBhB5EiwAIoAtChZOXVLuySizcPVai8XYvSitTtnnGjKmihanBkTYtwCAI6NbW7x_uhoCu9UQAvD_BwE</t>
  </si>
  <si>
    <t>Capacitores</t>
  </si>
  <si>
    <t>Protoboard</t>
  </si>
  <si>
    <t>Kit de Capacitores</t>
  </si>
  <si>
    <t>ESP32-C6-DevKitC-1</t>
  </si>
  <si>
    <t>Transistor BC338</t>
  </si>
  <si>
    <t>Caixa organizadora</t>
  </si>
  <si>
    <t>https://www.proesi.com.br/gaveteiro-organizador-g-28x17-5x4cm</t>
  </si>
  <si>
    <t>Gaveteiro Organizador G 28X17,5X4cm</t>
  </si>
  <si>
    <t>push button</t>
  </si>
  <si>
    <t>https://www.proesi.com.br/chave-tactil-kfc-a06-6x6x5mm-4t-180</t>
  </si>
  <si>
    <t>Chave Táctil KFC-A06 - 6X6X5mm - 4T - 180°</t>
  </si>
  <si>
    <t>MB-102 - Protoboard 830 Pontos</t>
  </si>
  <si>
    <t>https://www.proesi.com.br/mb-102-protoboard-830-pontos</t>
  </si>
  <si>
    <t>https://www.proesi.com.br/bc338-transistor-to92</t>
  </si>
  <si>
    <t>BC338 - Transistor NPN, 25V/800mA (TO-92)</t>
  </si>
  <si>
    <t>Sim</t>
  </si>
  <si>
    <t>Valor unitário</t>
  </si>
  <si>
    <t>Total/Item</t>
  </si>
  <si>
    <t>Conector KK (definir)</t>
  </si>
  <si>
    <t>Terminal KK</t>
  </si>
  <si>
    <t>Barra de pinos macho (definir)</t>
  </si>
  <si>
    <t>Barra de pinos fêmea (definir)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</si>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</sst>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/>
  </cellXfs>
  <cellStyles count="2">
    <cellStyle name="Hiperlink" xfId="1" builtinId="8"/>
    <cellStyle name="Normal" xfId="0" builtinId="0"/>
  </cellStyles>
  <dxfs count="2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7C364E-ED0F-49A6-8597-0FDCA2B01F90}" name="Tabela2" displayName="Tabela2" ref="A1:H23" totalsRowShown="0" headerRowDxfId="0">
  <autoFilter ref="A1:H23" xr:uid="{7A7C364E-ED0F-49A6-8597-0FDCA2B01F90}"/>
  <tableColumns count="8">
    <tableColumn id="1" xr3:uid="{5F8A6799-28E9-45C8-A489-9682CB9D6F11}" name="Itens"/>
    <tableColumn id="2" xr3:uid="{5B6C232D-D070-4A53-A725-9164AB09EAB2}" name="Descrição"/>
    <tableColumn id="3" xr3:uid="{A2D116E3-1A56-40A4-9BED-69A6D8954DE7}" name="Quantidade"/>
    <tableColumn id="4" xr3:uid="{DDEBC4DC-8DF0-437E-BD1C-07E1E985BEAA}" name="Link Compra"/>
    <tableColumn id="5" xr3:uid="{FB7078F7-531E-4910-8A9A-FC0C08B18B2C}" name="Link Referência"/>
    <tableColumn id="6" xr3:uid="{737C8874-6B47-4565-9A0E-57E3F3112DA9}" name="Compra solicitada?"/>
    <tableColumn id="7" xr3:uid="{E27E675F-CD59-4E96-AA6F-D6144E0C6A8D}" name="Valor unitário"/>
    <tableColumn id="8" xr3:uid="{6CF4CF23-9FCC-482F-BA49-D624A2E2C8C3}" name="Total/Item" dataDxfId="1">
      <calculatedColumnFormula>C2*G2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oesi.com.br/buzzer-5v-bip-continuo-pci-12mm-oscilador-interno" TargetMode="External"/><Relationship Id="rId13" Type="http://schemas.openxmlformats.org/officeDocument/2006/relationships/hyperlink" Target="https://www.proesi.com.br/mb-102-protoboard-830-pontos" TargetMode="External"/><Relationship Id="rId3" Type="http://schemas.openxmlformats.org/officeDocument/2006/relationships/hyperlink" Target="https://www.mercadolivre.com.br/modulo-rf-wireless-lora-433mhz-longo-alcance-433t20d-3km/up/MLBU777063589" TargetMode="External"/><Relationship Id="rId7" Type="http://schemas.openxmlformats.org/officeDocument/2006/relationships/hyperlink" Target="https://www.proesi.com.br/modulo-sensor-de-tens-o-ac-0-a-250vac-zmpt101b" TargetMode="External"/><Relationship Id="rId12" Type="http://schemas.openxmlformats.org/officeDocument/2006/relationships/hyperlink" Target="https://www.proesi.com.br/chave-tactil-kfc-a06-6x6x5mm-4t-180" TargetMode="External"/><Relationship Id="rId2" Type="http://schemas.openxmlformats.org/officeDocument/2006/relationships/hyperlink" Target="https://www.mercadolivre.com.br/antena-433mhz-sma-6dbi-19cm/p/MLB59388014" TargetMode="External"/><Relationship Id="rId1" Type="http://schemas.openxmlformats.org/officeDocument/2006/relationships/hyperlink" Target="https://www.cdebyte.com/products/E32-433T20D" TargetMode="External"/><Relationship Id="rId6" Type="http://schemas.openxmlformats.org/officeDocument/2006/relationships/hyperlink" Target="https://www.mercadolivre.com.br/kit-10-modulo-tp4056-carregador-de-bateria-usb-tipo-c-5v-1a/up/MLBU1741803625?pdp_filters=item_id:MLB3855613725" TargetMode="External"/><Relationship Id="rId11" Type="http://schemas.openxmlformats.org/officeDocument/2006/relationships/hyperlink" Target="https://www.proesi.com.br/gaveteiro-organizador-g-28x17-5x4cm" TargetMode="External"/><Relationship Id="rId5" Type="http://schemas.openxmlformats.org/officeDocument/2006/relationships/hyperlink" Target="https://www.jheletronico.com.br/bateria-li-po-37v-21a-77wh-gsp7538868x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www.fontesmeanwell.com.br/fonte-chaveada-15w-85-264vca-120-370vcc-saida-5vcc-3a-rs-15-5-mean-well" TargetMode="External"/><Relationship Id="rId4" Type="http://schemas.openxmlformats.org/officeDocument/2006/relationships/hyperlink" Target="https://www.jheletronico.com.br/pack-de-baterias-18650-li-ion-37v-104a-4-celulas-c-rabicho-2-fios" TargetMode="External"/><Relationship Id="rId9" Type="http://schemas.openxmlformats.org/officeDocument/2006/relationships/hyperlink" Target="https://www.usinainfo.com.br/esp32/esp32-c6-devkitc-1-com-wifi-e-bluetooth-com-usb-c-e-ch343-8754.html?srsltid=AfmBOoord-bBZgxPfm-Fyl79VrfjANzStb_n_UDtIV0jQ83-WQa-zW4T" TargetMode="External"/><Relationship Id="rId14" Type="http://schemas.openxmlformats.org/officeDocument/2006/relationships/hyperlink" Target="https://www.proesi.com.br/bc338-transistor-to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ySplit="1" topLeftCell="A2" activePane="bottomLeft" state="frozen"/>
      <selection pane="bottomLeft" activeCell="N9" sqref="N9"/>
    </sheetView>
  </sheetViews>
  <sheetFormatPr defaultRowHeight="15" x14ac:dyDescent="0.25"/>
  <cols>
    <col min="1" max="1" width="23.85546875" customWidth="1"/>
    <col min="2" max="2" width="34.140625" customWidth="1"/>
    <col min="3" max="3" width="13.5703125" customWidth="1"/>
    <col min="4" max="4" width="15.7109375" customWidth="1"/>
    <col min="5" max="5" width="18.7109375" customWidth="1"/>
    <col min="6" max="6" width="21.85546875" customWidth="1"/>
    <col min="7" max="7" width="17.7109375" customWidth="1"/>
    <col min="8" max="8" width="14.42578125" customWidth="1"/>
    <col min="11" max="11" width="14.42578125" customWidth="1"/>
    <col min="12" max="12" width="13.5703125" bestFit="1" customWidth="1"/>
  </cols>
  <sheetData>
    <row r="1" spans="1:12" ht="15.75" x14ac:dyDescent="0.25">
      <c r="A1" s="4" t="s">
        <v>1</v>
      </c>
      <c r="B1" s="4" t="s">
        <v>3</v>
      </c>
      <c r="C1" s="4" t="s">
        <v>2</v>
      </c>
      <c r="D1" s="4" t="s">
        <v>4</v>
      </c>
      <c r="E1" s="4" t="s">
        <v>5</v>
      </c>
      <c r="F1" s="4" t="s">
        <v>36</v>
      </c>
      <c r="G1" s="4" t="s">
        <v>54</v>
      </c>
      <c r="H1" s="4" t="s">
        <v>55</v>
      </c>
      <c r="K1" s="5" t="s">
        <v>60</v>
      </c>
      <c r="L1" s="6">
        <f>SUM(H2:H226)</f>
        <v>1147.4299999999998</v>
      </c>
    </row>
    <row r="2" spans="1:12" x14ac:dyDescent="0.25">
      <c r="A2" t="s">
        <v>0</v>
      </c>
      <c r="B2" t="s">
        <v>7</v>
      </c>
      <c r="C2">
        <v>3</v>
      </c>
      <c r="D2" s="1" t="s">
        <v>14</v>
      </c>
      <c r="E2" s="1" t="s">
        <v>6</v>
      </c>
      <c r="F2" t="s">
        <v>53</v>
      </c>
      <c r="G2" s="3">
        <v>112.95</v>
      </c>
      <c r="H2" s="3">
        <f>C2*G2</f>
        <v>338.85</v>
      </c>
    </row>
    <row r="3" spans="1:12" x14ac:dyDescent="0.25">
      <c r="A3" t="s">
        <v>9</v>
      </c>
      <c r="B3" t="s">
        <v>10</v>
      </c>
      <c r="C3">
        <v>3</v>
      </c>
      <c r="D3" s="1" t="s">
        <v>8</v>
      </c>
      <c r="E3" s="1"/>
      <c r="F3" t="s">
        <v>53</v>
      </c>
      <c r="G3" s="3">
        <v>36</v>
      </c>
      <c r="H3" s="3">
        <f t="shared" ref="H3:H23" si="0">C3*G3</f>
        <v>108</v>
      </c>
    </row>
    <row r="4" spans="1:12" x14ac:dyDescent="0.25">
      <c r="B4" t="s">
        <v>11</v>
      </c>
      <c r="G4" s="3"/>
      <c r="H4" s="3">
        <f t="shared" si="0"/>
        <v>0</v>
      </c>
    </row>
    <row r="5" spans="1:12" x14ac:dyDescent="0.25">
      <c r="B5" t="s">
        <v>12</v>
      </c>
      <c r="G5" s="3"/>
      <c r="H5" s="3">
        <f t="shared" si="0"/>
        <v>0</v>
      </c>
    </row>
    <row r="6" spans="1:12" x14ac:dyDescent="0.25">
      <c r="B6" t="s">
        <v>13</v>
      </c>
      <c r="E6" s="2"/>
      <c r="G6" s="3"/>
      <c r="H6" s="3">
        <f t="shared" si="0"/>
        <v>0</v>
      </c>
    </row>
    <row r="7" spans="1:12" x14ac:dyDescent="0.25">
      <c r="A7" t="s">
        <v>30</v>
      </c>
      <c r="B7" t="s">
        <v>15</v>
      </c>
      <c r="C7">
        <v>2</v>
      </c>
      <c r="D7" s="1" t="s">
        <v>29</v>
      </c>
      <c r="F7" t="s">
        <v>53</v>
      </c>
      <c r="G7" s="3">
        <v>3.65</v>
      </c>
      <c r="H7" s="3">
        <f t="shared" si="0"/>
        <v>7.3</v>
      </c>
    </row>
    <row r="8" spans="1:12" x14ac:dyDescent="0.25">
      <c r="B8" t="s">
        <v>17</v>
      </c>
      <c r="G8" s="3"/>
      <c r="H8" s="3">
        <f t="shared" si="0"/>
        <v>0</v>
      </c>
    </row>
    <row r="9" spans="1:12" x14ac:dyDescent="0.25">
      <c r="A9" t="s">
        <v>34</v>
      </c>
      <c r="B9" t="s">
        <v>35</v>
      </c>
      <c r="C9">
        <v>2</v>
      </c>
      <c r="D9" s="1" t="s">
        <v>33</v>
      </c>
      <c r="F9" t="s">
        <v>53</v>
      </c>
      <c r="G9" s="3">
        <v>70.45</v>
      </c>
      <c r="H9" s="3">
        <f t="shared" si="0"/>
        <v>140.9</v>
      </c>
    </row>
    <row r="10" spans="1:12" x14ac:dyDescent="0.25">
      <c r="A10" t="s">
        <v>20</v>
      </c>
      <c r="B10" t="s">
        <v>19</v>
      </c>
      <c r="C10">
        <v>1</v>
      </c>
      <c r="D10" s="1" t="s">
        <v>18</v>
      </c>
      <c r="F10" t="s">
        <v>53</v>
      </c>
      <c r="G10" s="3">
        <v>79.900000000000006</v>
      </c>
      <c r="H10" s="3">
        <f t="shared" si="0"/>
        <v>79.900000000000006</v>
      </c>
    </row>
    <row r="11" spans="1:12" x14ac:dyDescent="0.25">
      <c r="A11" t="s">
        <v>22</v>
      </c>
      <c r="B11" t="s">
        <v>23</v>
      </c>
      <c r="C11">
        <v>1</v>
      </c>
      <c r="D11" s="1" t="s">
        <v>21</v>
      </c>
      <c r="F11" t="s">
        <v>53</v>
      </c>
      <c r="G11" s="3">
        <v>29.9</v>
      </c>
      <c r="H11" s="3">
        <f t="shared" si="0"/>
        <v>29.9</v>
      </c>
    </row>
    <row r="12" spans="1:12" x14ac:dyDescent="0.25">
      <c r="A12" t="s">
        <v>24</v>
      </c>
      <c r="B12" t="s">
        <v>25</v>
      </c>
      <c r="C12">
        <v>1</v>
      </c>
      <c r="D12" s="1" t="s">
        <v>26</v>
      </c>
      <c r="F12" t="s">
        <v>53</v>
      </c>
      <c r="G12" s="3">
        <v>31.87</v>
      </c>
      <c r="H12" s="3">
        <f t="shared" si="0"/>
        <v>31.87</v>
      </c>
    </row>
    <row r="13" spans="1:12" x14ac:dyDescent="0.25">
      <c r="A13" t="s">
        <v>27</v>
      </c>
      <c r="B13" t="s">
        <v>16</v>
      </c>
      <c r="C13">
        <v>1</v>
      </c>
      <c r="D13" s="1" t="s">
        <v>28</v>
      </c>
      <c r="F13" t="s">
        <v>53</v>
      </c>
      <c r="G13" s="3">
        <v>33.92</v>
      </c>
      <c r="H13" s="3">
        <f t="shared" si="0"/>
        <v>33.92</v>
      </c>
    </row>
    <row r="14" spans="1:12" x14ac:dyDescent="0.25">
      <c r="A14" t="s">
        <v>41</v>
      </c>
      <c r="B14" t="s">
        <v>32</v>
      </c>
      <c r="C14">
        <v>3</v>
      </c>
      <c r="D14" s="1" t="s">
        <v>31</v>
      </c>
      <c r="F14" t="s">
        <v>53</v>
      </c>
      <c r="G14" s="3">
        <v>84.31</v>
      </c>
      <c r="H14" s="3">
        <f t="shared" si="0"/>
        <v>252.93</v>
      </c>
    </row>
    <row r="15" spans="1:12" x14ac:dyDescent="0.25">
      <c r="A15" t="s">
        <v>40</v>
      </c>
      <c r="B15" t="s">
        <v>38</v>
      </c>
      <c r="C15">
        <v>1</v>
      </c>
      <c r="D15" t="s">
        <v>37</v>
      </c>
      <c r="F15" t="s">
        <v>53</v>
      </c>
      <c r="G15" s="3">
        <v>54.33</v>
      </c>
      <c r="H15" s="3">
        <f t="shared" si="0"/>
        <v>54.33</v>
      </c>
    </row>
    <row r="16" spans="1:12" x14ac:dyDescent="0.25">
      <c r="A16" t="s">
        <v>49</v>
      </c>
      <c r="B16" t="s">
        <v>39</v>
      </c>
      <c r="C16">
        <v>1</v>
      </c>
      <c r="D16" s="1" t="s">
        <v>50</v>
      </c>
      <c r="F16" t="s">
        <v>53</v>
      </c>
      <c r="G16" s="3">
        <v>21.58</v>
      </c>
      <c r="H16" s="3">
        <f t="shared" si="0"/>
        <v>21.58</v>
      </c>
    </row>
    <row r="17" spans="1:8" x14ac:dyDescent="0.25">
      <c r="A17" t="s">
        <v>52</v>
      </c>
      <c r="B17" t="s">
        <v>42</v>
      </c>
      <c r="C17">
        <v>10</v>
      </c>
      <c r="D17" s="1" t="s">
        <v>51</v>
      </c>
      <c r="F17" t="s">
        <v>53</v>
      </c>
      <c r="G17" s="3">
        <v>0.33</v>
      </c>
      <c r="H17" s="3">
        <f t="shared" si="0"/>
        <v>3.3000000000000003</v>
      </c>
    </row>
    <row r="18" spans="1:8" x14ac:dyDescent="0.25">
      <c r="A18" t="s">
        <v>48</v>
      </c>
      <c r="B18" t="s">
        <v>46</v>
      </c>
      <c r="C18">
        <v>20</v>
      </c>
      <c r="D18" s="1" t="s">
        <v>47</v>
      </c>
      <c r="F18" t="s">
        <v>53</v>
      </c>
      <c r="G18" s="3">
        <v>0.22</v>
      </c>
      <c r="H18" s="3">
        <f t="shared" si="0"/>
        <v>4.4000000000000004</v>
      </c>
    </row>
    <row r="19" spans="1:8" x14ac:dyDescent="0.25">
      <c r="A19" t="s">
        <v>45</v>
      </c>
      <c r="B19" t="s">
        <v>43</v>
      </c>
      <c r="C19">
        <v>1</v>
      </c>
      <c r="D19" s="1" t="s">
        <v>44</v>
      </c>
      <c r="F19" t="s">
        <v>53</v>
      </c>
      <c r="G19" s="3">
        <v>40.25</v>
      </c>
      <c r="H19" s="3">
        <f t="shared" si="0"/>
        <v>40.25</v>
      </c>
    </row>
    <row r="20" spans="1:8" x14ac:dyDescent="0.25">
      <c r="B20" t="s">
        <v>56</v>
      </c>
      <c r="H20" s="3">
        <f t="shared" si="0"/>
        <v>0</v>
      </c>
    </row>
    <row r="21" spans="1:8" x14ac:dyDescent="0.25">
      <c r="B21" t="s">
        <v>57</v>
      </c>
      <c r="H21" s="3">
        <f t="shared" si="0"/>
        <v>0</v>
      </c>
    </row>
    <row r="22" spans="1:8" x14ac:dyDescent="0.25">
      <c r="B22" t="s">
        <v>58</v>
      </c>
      <c r="H22" s="3">
        <f t="shared" si="0"/>
        <v>0</v>
      </c>
    </row>
    <row r="23" spans="1:8" x14ac:dyDescent="0.25">
      <c r="B23" t="s">
        <v>59</v>
      </c>
      <c r="H23" s="3">
        <f t="shared" si="0"/>
        <v>0</v>
      </c>
    </row>
  </sheetData>
  <hyperlinks>
    <hyperlink ref="E2" r:id="rId1" xr:uid="{AF6576B4-6DE2-47F3-8559-D5A91D757979}"/>
    <hyperlink ref="D3" r:id="rId2" xr:uid="{01B36D4B-6D0E-47CB-96AC-4049B6D85A8D}"/>
    <hyperlink ref="D2" r:id="rId3" xr:uid="{0EB90C2C-A82A-4CD9-80A7-8B30B1813239}"/>
    <hyperlink ref="D10" r:id="rId4" xr:uid="{3A626835-A18E-4178-9C19-4C0D1E44D0B7}"/>
    <hyperlink ref="D11" r:id="rId5" xr:uid="{48B4A9D6-D040-4A6A-AB7E-C8C45DD39535}"/>
    <hyperlink ref="D12" r:id="rId6" location="is_advertising=true&amp;searchVariation=MLBU1741803625&amp;backend_model=search-backend&amp;be_origin=backend&amp;position=8&amp;search_layout=grid&amp;type=pad&amp;tracking_id=90195325-382c-4867-9fed-c40bdb5dd9ef&amp;ad_domain=VQCATCORE_LST&amp;ad_position=8&amp;ad_click_id=ZjEzODkzMzQtZWZmOS00NWFkLWFiYjYtY2M2NTYyZjA4Y2Qz" display="https://www.mercadolivre.com.br/kit-10-modulo-tp4056-carregador-de-bateria-usb-tipo-c-5v-1a/up/MLBU1741803625?pdp_filters=item_id:MLB3855613725#is_advertising=true&amp;searchVariation=MLBU1741803625&amp;backend_model=search-backend&amp;be_origin=backend&amp;position=8&amp;search_layout=grid&amp;type=pad&amp;tracking_id=90195325-382c-4867-9fed-c40bdb5dd9ef&amp;ad_domain=VQCATCORE_LST&amp;ad_position=8&amp;ad_click_id=ZjEzODkzMzQtZWZmOS00NWFkLWFiYjYtY2M2NTYyZjA4Y2Qz" xr:uid="{4648C704-A85C-4E18-9A4D-B1B2E0F39183}"/>
    <hyperlink ref="D13" r:id="rId7" xr:uid="{7358FD83-19F7-4876-BB2E-AF7D8E9A48B3}"/>
    <hyperlink ref="D7" r:id="rId8" xr:uid="{3D0F1949-FC6A-49BF-A365-12FB8436985F}"/>
    <hyperlink ref="D14" r:id="rId9" xr:uid="{338E6731-18DD-4C88-8111-2780F5BE07E2}"/>
    <hyperlink ref="D9" r:id="rId10" xr:uid="{53A34724-8848-4ED9-9BD7-A247EE9EEE2E}"/>
    <hyperlink ref="D19" r:id="rId11" xr:uid="{A91FC859-90BA-4160-9975-AB6459E4F48C}"/>
    <hyperlink ref="D18" r:id="rId12" xr:uid="{A79A0DF8-7266-4EE7-B0F4-2A155772603D}"/>
    <hyperlink ref="D16" r:id="rId13" xr:uid="{E6A0DCFA-2996-419D-BD2B-163FA04EDDBE}"/>
    <hyperlink ref="D17" r:id="rId14" xr:uid="{69097EAA-BFFC-4DD9-B95C-9D4B6E90193E}"/>
  </hyperlinks>
  <pageMargins left="0.7" right="0.7" top="0.75" bottom="0.75" header="0.3" footer="0.3"/>
  <tableParts count="1">
    <tablePart r:id="rId15"/>
  </tableParts>
</worksheet>
</file>

<file path=docMetadata/LabelInfo.xml><?xml version="1.0" encoding="utf-8"?>
<clbl:labelList xmlns:clbl="http://schemas.microsoft.com/office/2020/mipLabelMetadata">
  <clbl:label id="{78c92e46-f9ad-4071-a0be-6d848dc38163}" enabled="0" method="" siteId="{78c92e46-f9ad-4071-a0be-6d848dc381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Henrique Ratto Martins</dc:creator>
  <cp:lastModifiedBy>João Henrique Ratto Martins</cp:lastModifiedBy>
  <dcterms:created xsi:type="dcterms:W3CDTF">2015-06-05T18:19:34Z</dcterms:created>
  <dcterms:modified xsi:type="dcterms:W3CDTF">2026-08-21T14:36:07Z</dcterms:modified>
</cp:coreProperties>
</file>